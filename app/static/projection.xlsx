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General" sheetId="1" state="visible" r:id="rId1"/>
    <sheet name="Negocio Sucursal 1" sheetId="2" state="visible" r:id="rId2"/>
    <sheet name="Demo Sucursal 2" sheetId="3" state="visible" r:id="rId3"/>
    <sheet name="Demo Sucursal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Consolidado General</t>
        </is>
      </c>
    </row>
    <row r="2">
      <c r="A2" t="inlineStr">
        <is>
          <t>Projection for 35 days (All Branches)</t>
        </is>
      </c>
    </row>
    <row r="3">
      <c r="A3" t="inlineStr">
        <is>
          <t>Código</t>
        </is>
      </c>
      <c r="B3" t="inlineStr">
        <is>
          <t>Producto</t>
        </is>
      </c>
      <c r="C3" t="inlineStr">
        <is>
          <t>Marca</t>
        </is>
      </c>
      <c r="D3" t="inlineStr">
        <is>
          <t>Unidad</t>
        </is>
      </c>
      <c r="E3" t="inlineStr">
        <is>
          <t>Stock Actual</t>
        </is>
      </c>
      <c r="F3" t="inlineStr">
        <is>
          <t>Días Promedio</t>
        </is>
      </c>
      <c r="G3" t="inlineStr">
        <is>
          <t>Días a Proyectar</t>
        </is>
      </c>
      <c r="H3" t="inlineStr">
        <is>
          <t>Stock Proyectado</t>
        </is>
      </c>
      <c r="I3" t="inlineStr">
        <is>
          <t>Costo Promedio</t>
        </is>
      </c>
      <c r="J3" t="inlineStr">
        <is>
          <t>Costo Estimado</t>
        </is>
      </c>
      <c r="K3" t="inlineStr">
        <is>
          <t>Clasificación</t>
        </is>
      </c>
    </row>
    <row r="4">
      <c r="A4" t="inlineStr"/>
      <c r="B4" t="inlineStr">
        <is>
          <t>Ambroxol Jarabe</t>
        </is>
      </c>
      <c r="C4" t="inlineStr">
        <is>
          <t>Ramos</t>
        </is>
      </c>
      <c r="D4" t="inlineStr">
        <is>
          <t>Frasco</t>
        </is>
      </c>
      <c r="E4" t="n">
        <v>222</v>
      </c>
      <c r="F4" t="n">
        <v>37.5</v>
      </c>
      <c r="G4" t="n">
        <v>35</v>
      </c>
      <c r="H4">
        <f>F4*G4-E4</f>
        <v/>
      </c>
      <c r="I4" t="n">
        <v>54.67</v>
      </c>
      <c r="J4">
        <f>H4*I4</f>
        <v/>
      </c>
      <c r="K4" t="inlineStr">
        <is>
          <t>REGULAR (3)</t>
        </is>
      </c>
    </row>
    <row r="5">
      <c r="A5" t="inlineStr"/>
      <c r="B5" t="inlineStr">
        <is>
          <t>Loratadina 10mg</t>
        </is>
      </c>
      <c r="C5" t="inlineStr">
        <is>
          <t>Caplin</t>
        </is>
      </c>
      <c r="D5" t="inlineStr">
        <is>
          <t>Tableta</t>
        </is>
      </c>
      <c r="E5" t="n">
        <v>200</v>
      </c>
      <c r="F5" t="n">
        <v>12.6</v>
      </c>
      <c r="G5" t="n">
        <v>35</v>
      </c>
      <c r="H5">
        <f>F5*G5-E5</f>
        <v/>
      </c>
      <c r="I5" t="n">
        <v>1.1</v>
      </c>
      <c r="J5">
        <f>H5*I5</f>
        <v/>
      </c>
      <c r="K5" t="inlineStr">
        <is>
          <t>REGULAR (3)</t>
        </is>
      </c>
    </row>
    <row r="6">
      <c r="A6" t="inlineStr"/>
      <c r="B6" t="inlineStr">
        <is>
          <t>Acetaminofen 500mg</t>
        </is>
      </c>
      <c r="C6" t="inlineStr">
        <is>
          <t>Caplin</t>
        </is>
      </c>
      <c r="D6" t="inlineStr">
        <is>
          <t>Tableta</t>
        </is>
      </c>
      <c r="E6" t="n">
        <v>100</v>
      </c>
      <c r="F6" t="n">
        <v>82.59999999999999</v>
      </c>
      <c r="G6" t="n">
        <v>35</v>
      </c>
      <c r="H6">
        <f>F6*G6-E6</f>
        <v/>
      </c>
      <c r="I6" t="n">
        <v>0.32</v>
      </c>
      <c r="J6">
        <f>H6*I6</f>
        <v/>
      </c>
      <c r="K6" t="inlineStr">
        <is>
          <t>REGULAR (3)</t>
        </is>
      </c>
    </row>
    <row r="7">
      <c r="A7" t="inlineStr"/>
      <c r="B7" t="inlineStr">
        <is>
          <t>Loratadina Jarabe</t>
        </is>
      </c>
      <c r="C7" t="inlineStr">
        <is>
          <t>Ramos</t>
        </is>
      </c>
      <c r="D7" t="inlineStr">
        <is>
          <t>Frasco</t>
        </is>
      </c>
      <c r="E7" t="n">
        <v>0</v>
      </c>
      <c r="F7" t="n">
        <v>0.2</v>
      </c>
      <c r="G7" t="n">
        <v>35</v>
      </c>
      <c r="H7">
        <f>F7*G7-E7</f>
        <v/>
      </c>
      <c r="I7" t="n">
        <v>33.83</v>
      </c>
      <c r="J7">
        <f>H7*I7</f>
        <v/>
      </c>
      <c r="K7" t="inlineStr">
        <is>
          <t>MIN (1)</t>
        </is>
      </c>
    </row>
    <row r="8">
      <c r="A8" t="inlineStr"/>
      <c r="B8" t="inlineStr">
        <is>
          <t>Viro Grip Dia Gelcap</t>
        </is>
      </c>
      <c r="C8" t="inlineStr">
        <is>
          <t>Vijosa</t>
        </is>
      </c>
      <c r="D8" t="inlineStr">
        <is>
          <t>Caja</t>
        </is>
      </c>
      <c r="E8" t="n">
        <v>68</v>
      </c>
      <c r="F8" t="n">
        <v>0.1</v>
      </c>
      <c r="G8" t="n">
        <v>35</v>
      </c>
      <c r="H8">
        <f>F8*G8-E8</f>
        <v/>
      </c>
      <c r="I8" t="n">
        <v>225</v>
      </c>
      <c r="J8">
        <f>H8*I8</f>
        <v/>
      </c>
      <c r="K8" t="inlineStr">
        <is>
          <t>MIN (1)</t>
        </is>
      </c>
    </row>
    <row r="9">
      <c r="A9" t="inlineStr"/>
      <c r="B9" t="inlineStr">
        <is>
          <t>Acetaminofén MK</t>
        </is>
      </c>
      <c r="C9" t="inlineStr">
        <is>
          <t>MK</t>
        </is>
      </c>
      <c r="D9" t="inlineStr">
        <is>
          <t>Caja</t>
        </is>
      </c>
      <c r="E9" t="n">
        <v>0</v>
      </c>
      <c r="F9" t="n">
        <v>1.5</v>
      </c>
      <c r="G9" t="n">
        <v>35</v>
      </c>
      <c r="H9">
        <f>F9*G9-E9</f>
        <v/>
      </c>
      <c r="I9" t="n">
        <v>135.52</v>
      </c>
      <c r="J9">
        <f>H9*I9</f>
        <v/>
      </c>
      <c r="K9" t="inlineStr">
        <is>
          <t>MIN (1)</t>
        </is>
      </c>
    </row>
    <row r="10">
      <c r="A10" t="inlineStr"/>
      <c r="B10" t="inlineStr">
        <is>
          <t>Azitromicina 500</t>
        </is>
      </c>
      <c r="C10" t="inlineStr">
        <is>
          <t>Diagnos</t>
        </is>
      </c>
      <c r="D10" t="inlineStr">
        <is>
          <t>Sobre</t>
        </is>
      </c>
      <c r="E10" t="n">
        <v>5</v>
      </c>
      <c r="F10" t="n">
        <v>0.2</v>
      </c>
      <c r="G10" t="n">
        <v>35</v>
      </c>
      <c r="H10">
        <f>F10*G10-E10</f>
        <v/>
      </c>
      <c r="I10" t="n">
        <v>25.3</v>
      </c>
      <c r="J10">
        <f>H10*I10</f>
        <v/>
      </c>
      <c r="K10" t="inlineStr">
        <is>
          <t>MIN (1)</t>
        </is>
      </c>
    </row>
    <row r="11">
      <c r="A11" t="inlineStr"/>
      <c r="B11" t="inlineStr">
        <is>
          <t>Sal Andrew</t>
        </is>
      </c>
      <c r="C11" t="inlineStr">
        <is>
          <t>GSK</t>
        </is>
      </c>
      <c r="D11" t="inlineStr">
        <is>
          <t>Caja</t>
        </is>
      </c>
      <c r="E11" t="n">
        <v>20</v>
      </c>
      <c r="F11" t="n">
        <v>0.4</v>
      </c>
      <c r="G11" t="n">
        <v>35</v>
      </c>
      <c r="H11">
        <f>F11*G11-E11</f>
        <v/>
      </c>
      <c r="I11" t="n">
        <v>856.36</v>
      </c>
      <c r="J11">
        <f>H11*I11</f>
        <v/>
      </c>
      <c r="K11" t="inlineStr">
        <is>
          <t>MIN 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Negocio Sucursal 1</t>
        </is>
      </c>
    </row>
    <row r="2">
      <c r="A2" t="inlineStr">
        <is>
          <t>Projection for 35 days</t>
        </is>
      </c>
    </row>
    <row r="3">
      <c r="A3" t="inlineStr">
        <is>
          <t>Código</t>
        </is>
      </c>
      <c r="B3" t="inlineStr">
        <is>
          <t>Producto</t>
        </is>
      </c>
      <c r="C3" t="inlineStr">
        <is>
          <t>Marca</t>
        </is>
      </c>
      <c r="D3" t="inlineStr">
        <is>
          <t>Unidad</t>
        </is>
      </c>
      <c r="E3" t="inlineStr">
        <is>
          <t>Stock Actual</t>
        </is>
      </c>
      <c r="F3" t="inlineStr">
        <is>
          <t>Días Promedio</t>
        </is>
      </c>
      <c r="G3" t="inlineStr">
        <is>
          <t>Días a Proyectar</t>
        </is>
      </c>
      <c r="H3" t="inlineStr">
        <is>
          <t>Stock Proyectado</t>
        </is>
      </c>
      <c r="I3" t="inlineStr">
        <is>
          <t>Costo Promedio</t>
        </is>
      </c>
      <c r="J3" t="inlineStr">
        <is>
          <t>Costo Estimado</t>
        </is>
      </c>
      <c r="K3" t="inlineStr">
        <is>
          <t>Clasificación</t>
        </is>
      </c>
    </row>
    <row r="4">
      <c r="A4" t="inlineStr"/>
      <c r="B4" t="inlineStr">
        <is>
          <t>Ambroxol Jarabe</t>
        </is>
      </c>
      <c r="C4" t="inlineStr">
        <is>
          <t>Ramos</t>
        </is>
      </c>
      <c r="D4" t="inlineStr">
        <is>
          <t>Frasco</t>
        </is>
      </c>
      <c r="E4" t="n">
        <v>2</v>
      </c>
      <c r="F4" t="n">
        <v>30.4</v>
      </c>
      <c r="G4" t="n">
        <v>35</v>
      </c>
      <c r="H4">
        <f>F4*G4-E4</f>
        <v/>
      </c>
      <c r="I4" t="n">
        <v>32</v>
      </c>
      <c r="J4">
        <f>H4*I4</f>
        <v/>
      </c>
      <c r="K4" t="inlineStr">
        <is>
          <t>BUENO (4)</t>
        </is>
      </c>
    </row>
    <row r="5">
      <c r="A5" t="inlineStr"/>
      <c r="B5" t="inlineStr">
        <is>
          <t>Loratadina 10mg</t>
        </is>
      </c>
      <c r="C5" t="inlineStr">
        <is>
          <t>Caplin</t>
        </is>
      </c>
      <c r="D5" t="inlineStr">
        <is>
          <t>Tableta</t>
        </is>
      </c>
      <c r="E5" t="n">
        <v>200</v>
      </c>
      <c r="F5" t="n">
        <v>12.6</v>
      </c>
      <c r="G5" t="n">
        <v>35</v>
      </c>
      <c r="H5">
        <f>F5*G5-E5</f>
        <v/>
      </c>
      <c r="I5" t="n">
        <v>1.1</v>
      </c>
      <c r="J5">
        <f>H5*I5</f>
        <v/>
      </c>
      <c r="K5" t="inlineStr">
        <is>
          <t>REGULAR (3)</t>
        </is>
      </c>
    </row>
    <row r="6">
      <c r="A6" t="inlineStr"/>
      <c r="B6" t="inlineStr">
        <is>
          <t>Acetaminofen 500mg</t>
        </is>
      </c>
      <c r="C6" t="inlineStr">
        <is>
          <t>Caplin</t>
        </is>
      </c>
      <c r="D6" t="inlineStr">
        <is>
          <t>Tableta</t>
        </is>
      </c>
      <c r="E6" t="n">
        <v>100</v>
      </c>
      <c r="F6" t="n">
        <v>82.59999999999999</v>
      </c>
      <c r="G6" t="n">
        <v>35</v>
      </c>
      <c r="H6">
        <f>F6*G6-E6</f>
        <v/>
      </c>
      <c r="I6" t="n">
        <v>0.32</v>
      </c>
      <c r="J6">
        <f>H6*I6</f>
        <v/>
      </c>
      <c r="K6" t="inlineStr">
        <is>
          <t>REGULAR (3)</t>
        </is>
      </c>
    </row>
    <row r="7">
      <c r="A7" t="inlineStr"/>
      <c r="B7" t="inlineStr">
        <is>
          <t>Loratadina Jarabe</t>
        </is>
      </c>
      <c r="C7" t="inlineStr">
        <is>
          <t>Ramos</t>
        </is>
      </c>
      <c r="D7" t="inlineStr">
        <is>
          <t>Frasco</t>
        </is>
      </c>
      <c r="E7" t="n">
        <v>0</v>
      </c>
      <c r="F7" t="n">
        <v>0.2</v>
      </c>
      <c r="G7" t="n">
        <v>35</v>
      </c>
      <c r="H7">
        <f>F7*G7-E7</f>
        <v/>
      </c>
      <c r="I7" t="n">
        <v>33.83</v>
      </c>
      <c r="J7">
        <f>H7*I7</f>
        <v/>
      </c>
      <c r="K7" t="inlineStr">
        <is>
          <t>MIN (1)</t>
        </is>
      </c>
    </row>
    <row r="8">
      <c r="A8" t="inlineStr"/>
      <c r="B8" t="inlineStr">
        <is>
          <t>Viro Grip Dia Gelcap</t>
        </is>
      </c>
      <c r="C8" t="inlineStr">
        <is>
          <t>Vijosa</t>
        </is>
      </c>
      <c r="D8" t="inlineStr">
        <is>
          <t>Caja</t>
        </is>
      </c>
      <c r="E8" t="n">
        <v>68</v>
      </c>
      <c r="F8" t="n">
        <v>0.1</v>
      </c>
      <c r="G8" t="n">
        <v>35</v>
      </c>
      <c r="H8">
        <f>F8*G8-E8</f>
        <v/>
      </c>
      <c r="I8" t="n">
        <v>225</v>
      </c>
      <c r="J8">
        <f>H8*I8</f>
        <v/>
      </c>
      <c r="K8" t="inlineStr">
        <is>
          <t>MIN (1)</t>
        </is>
      </c>
    </row>
    <row r="9">
      <c r="A9" t="inlineStr"/>
      <c r="B9" t="inlineStr">
        <is>
          <t>Acetaminofén MK</t>
        </is>
      </c>
      <c r="C9" t="inlineStr">
        <is>
          <t>MK</t>
        </is>
      </c>
      <c r="D9" t="inlineStr">
        <is>
          <t>Caja</t>
        </is>
      </c>
      <c r="E9" t="n">
        <v>0</v>
      </c>
      <c r="F9" t="n">
        <v>1.5</v>
      </c>
      <c r="G9" t="n">
        <v>35</v>
      </c>
      <c r="H9">
        <f>F9*G9-E9</f>
        <v/>
      </c>
      <c r="I9" t="n">
        <v>135.52</v>
      </c>
      <c r="J9">
        <f>H9*I9</f>
        <v/>
      </c>
      <c r="K9" t="inlineStr">
        <is>
          <t>MIN (1)</t>
        </is>
      </c>
    </row>
    <row r="10">
      <c r="A10" t="inlineStr"/>
      <c r="B10" t="inlineStr">
        <is>
          <t>Azitromicina 500</t>
        </is>
      </c>
      <c r="C10" t="inlineStr">
        <is>
          <t>Diagnos</t>
        </is>
      </c>
      <c r="D10" t="inlineStr">
        <is>
          <t>Sobre</t>
        </is>
      </c>
      <c r="E10" t="n">
        <v>5</v>
      </c>
      <c r="F10" t="n">
        <v>0.2</v>
      </c>
      <c r="G10" t="n">
        <v>35</v>
      </c>
      <c r="H10">
        <f>F10*G10-E10</f>
        <v/>
      </c>
      <c r="I10" t="n">
        <v>25.3</v>
      </c>
      <c r="J10">
        <f>H10*I10</f>
        <v/>
      </c>
      <c r="K10" t="inlineStr">
        <is>
          <t>MIN (1)</t>
        </is>
      </c>
    </row>
    <row r="11">
      <c r="A11" t="inlineStr"/>
      <c r="B11" t="inlineStr">
        <is>
          <t>Sal Andrew</t>
        </is>
      </c>
      <c r="C11" t="inlineStr">
        <is>
          <t>GSK</t>
        </is>
      </c>
      <c r="D11" t="inlineStr">
        <is>
          <t>Caja</t>
        </is>
      </c>
      <c r="E11" t="n">
        <v>20</v>
      </c>
      <c r="F11" t="n">
        <v>0.4</v>
      </c>
      <c r="G11" t="n">
        <v>35</v>
      </c>
      <c r="H11">
        <f>F11*G11-E11</f>
        <v/>
      </c>
      <c r="I11" t="n">
        <v>856.36</v>
      </c>
      <c r="J11">
        <f>H11*I11</f>
        <v/>
      </c>
      <c r="K11" t="inlineStr">
        <is>
          <t>MIN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Sucursal 2</t>
        </is>
      </c>
    </row>
    <row r="2">
      <c r="A2" t="inlineStr">
        <is>
          <t>Projection for 35 days</t>
        </is>
      </c>
    </row>
    <row r="3">
      <c r="A3" t="inlineStr">
        <is>
          <t>Código</t>
        </is>
      </c>
      <c r="B3" t="inlineStr">
        <is>
          <t>Producto</t>
        </is>
      </c>
      <c r="C3" t="inlineStr">
        <is>
          <t>Marca</t>
        </is>
      </c>
      <c r="D3" t="inlineStr">
        <is>
          <t>Unidad</t>
        </is>
      </c>
      <c r="E3" t="inlineStr">
        <is>
          <t>Stock Actual</t>
        </is>
      </c>
      <c r="F3" t="inlineStr">
        <is>
          <t>Días Promedio</t>
        </is>
      </c>
      <c r="G3" t="inlineStr">
        <is>
          <t>Días a Proyectar</t>
        </is>
      </c>
      <c r="H3" t="inlineStr">
        <is>
          <t>Stock Proyectado</t>
        </is>
      </c>
      <c r="I3" t="inlineStr">
        <is>
          <t>Costo Promedio</t>
        </is>
      </c>
      <c r="J3" t="inlineStr">
        <is>
          <t>Costo Estimado</t>
        </is>
      </c>
      <c r="K3" t="inlineStr">
        <is>
          <t>Clasificación</t>
        </is>
      </c>
    </row>
    <row r="4">
      <c r="A4" t="inlineStr"/>
      <c r="B4" t="inlineStr">
        <is>
          <t>Ambroxol Jarabe</t>
        </is>
      </c>
      <c r="C4" t="inlineStr">
        <is>
          <t>Ramos</t>
        </is>
      </c>
      <c r="D4" t="inlineStr">
        <is>
          <t>Frasco</t>
        </is>
      </c>
      <c r="E4" t="n">
        <v>200</v>
      </c>
      <c r="F4" t="n">
        <v>2.2</v>
      </c>
      <c r="G4" t="n">
        <v>35</v>
      </c>
      <c r="H4">
        <f>F4*G4-E4</f>
        <v/>
      </c>
      <c r="I4" t="n">
        <v>32</v>
      </c>
      <c r="J4">
        <f>H4*I4</f>
        <v/>
      </c>
      <c r="K4" t="inlineStr">
        <is>
          <t>BAJO (2)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Sucursal 3</t>
        </is>
      </c>
    </row>
    <row r="2">
      <c r="A2" t="inlineStr">
        <is>
          <t>Projection for 35 days</t>
        </is>
      </c>
    </row>
    <row r="3">
      <c r="A3" t="inlineStr">
        <is>
          <t>Código</t>
        </is>
      </c>
      <c r="B3" t="inlineStr">
        <is>
          <t>Producto</t>
        </is>
      </c>
      <c r="C3" t="inlineStr">
        <is>
          <t>Marca</t>
        </is>
      </c>
      <c r="D3" t="inlineStr">
        <is>
          <t>Unidad</t>
        </is>
      </c>
      <c r="E3" t="inlineStr">
        <is>
          <t>Stock Actual</t>
        </is>
      </c>
      <c r="F3" t="inlineStr">
        <is>
          <t>Días Promedio</t>
        </is>
      </c>
      <c r="G3" t="inlineStr">
        <is>
          <t>Días a Proyectar</t>
        </is>
      </c>
      <c r="H3" t="inlineStr">
        <is>
          <t>Stock Proyectado</t>
        </is>
      </c>
      <c r="I3" t="inlineStr">
        <is>
          <t>Costo Promedio</t>
        </is>
      </c>
      <c r="J3" t="inlineStr">
        <is>
          <t>Costo Estimado</t>
        </is>
      </c>
      <c r="K3" t="inlineStr">
        <is>
          <t>Clasificación</t>
        </is>
      </c>
    </row>
    <row r="4">
      <c r="A4" t="inlineStr"/>
      <c r="B4" t="inlineStr">
        <is>
          <t>Ambroxol Jarabe</t>
        </is>
      </c>
      <c r="C4" t="inlineStr">
        <is>
          <t>Ramos</t>
        </is>
      </c>
      <c r="D4" t="inlineStr">
        <is>
          <t>Frasco</t>
        </is>
      </c>
      <c r="E4" t="n">
        <v>20</v>
      </c>
      <c r="F4" t="n">
        <v>4.9</v>
      </c>
      <c r="G4" t="n">
        <v>35</v>
      </c>
      <c r="H4">
        <f>F4*G4-E4</f>
        <v/>
      </c>
      <c r="I4" t="n">
        <v>100</v>
      </c>
      <c r="J4">
        <f>H4*I4</f>
        <v/>
      </c>
      <c r="K4" t="inlineStr">
        <is>
          <t>BAJO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2025-12-27T14:36:50Z</dcterms:created>
  <dcterms:modified xsi:type="dcterms:W3CDTF">2025-12-27T14:36:50Z</dcterms:modified>
</cp:coreProperties>
</file>